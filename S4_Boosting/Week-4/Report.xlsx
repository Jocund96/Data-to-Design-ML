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ium\sem3\Project\week4\"/>
    </mc:Choice>
  </mc:AlternateContent>
  <xr:revisionPtr revIDLastSave="0" documentId="13_ncr:1_{993B6D59-1C56-448E-92CC-D785A8B512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3" i="1"/>
  <c r="F42" i="1"/>
  <c r="G42" i="1"/>
  <c r="G46" i="1"/>
  <c r="F46" i="1"/>
  <c r="F45" i="1"/>
  <c r="G45" i="1"/>
  <c r="F44" i="1"/>
  <c r="F43" i="1"/>
</calcChain>
</file>

<file path=xl/sharedStrings.xml><?xml version="1.0" encoding="utf-8"?>
<sst xmlns="http://schemas.openxmlformats.org/spreadsheetml/2006/main" count="108" uniqueCount="34">
  <si>
    <t>MAE</t>
  </si>
  <si>
    <t>RMSE</t>
  </si>
  <si>
    <t>R</t>
  </si>
  <si>
    <t>max_depth</t>
  </si>
  <si>
    <t>max_iter</t>
  </si>
  <si>
    <t>XGBRegressor</t>
  </si>
  <si>
    <t>HistGradientBoostingRegressor</t>
  </si>
  <si>
    <t>AdaBoostRegressor</t>
  </si>
  <si>
    <t>Clean Dataset</t>
  </si>
  <si>
    <t>mean</t>
  </si>
  <si>
    <t>A</t>
  </si>
  <si>
    <t>B</t>
  </si>
  <si>
    <t>D</t>
  </si>
  <si>
    <t>C</t>
  </si>
  <si>
    <t>Base model</t>
  </si>
  <si>
    <t>Monotonic constraints</t>
  </si>
  <si>
    <t>Sample weights</t>
  </si>
  <si>
    <t>Monotonic constraints + Sample weights</t>
  </si>
  <si>
    <t>E</t>
  </si>
  <si>
    <t>n_estimators/ max_iter</t>
  </si>
  <si>
    <t>Base model (seed = 101)</t>
  </si>
  <si>
    <t>Base model (seed = 255)</t>
  </si>
  <si>
    <t>±std</t>
  </si>
  <si>
    <t>Mean ±std</t>
  </si>
  <si>
    <t>F</t>
  </si>
  <si>
    <t>Best result of model + experiment</t>
  </si>
  <si>
    <t>Comments</t>
  </si>
  <si>
    <t>So, seed doesn't affect on the results</t>
  </si>
  <si>
    <t>Sample wights decreased slightly MAE of XGB</t>
  </si>
  <si>
    <t>monotonic_constraints</t>
  </si>
  <si>
    <t>(1, 0, 0, -1, 0, 0, 0, 1)</t>
  </si>
  <si>
    <t>[1, 0, 0, -1, 0, 0, 0, 1]</t>
  </si>
  <si>
    <t>Raw Dataset (w/o duplicates)</t>
  </si>
  <si>
    <t>XGBoostRegressor, HistGradientBoostingRegressor and AdaBoost experiments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</si>
</sst>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1"/>
  <sheetViews>
    <sheetView tabSelected="1" topLeftCell="B1" workbookViewId="0">
      <selection activeCell="M13" sqref="M13"/>
    </sheetView>
  </sheetViews>
  <sheetFormatPr defaultRowHeight="14.4" x14ac:dyDescent="0.3"/>
  <cols>
    <col min="3" max="3" width="36.5546875" bestFit="1" customWidth="1"/>
    <col min="4" max="4" width="16.88671875" customWidth="1"/>
    <col min="5" max="5" width="28.33203125" bestFit="1" customWidth="1"/>
    <col min="6" max="6" width="10.33203125" style="2" customWidth="1"/>
    <col min="7" max="7" width="9.109375" style="2" bestFit="1" customWidth="1"/>
    <col min="8" max="8" width="11.44140625" style="2" customWidth="1"/>
    <col min="9" max="9" width="10.109375" style="2" bestFit="1" customWidth="1"/>
    <col min="10" max="10" width="20.88671875" style="2" customWidth="1"/>
    <col min="11" max="11" width="3.6640625" style="2" hidden="1" customWidth="1"/>
    <col min="12" max="12" width="21.109375" bestFit="1" customWidth="1"/>
    <col min="13" max="13" width="37.5546875" bestFit="1" customWidth="1"/>
  </cols>
  <sheetData>
    <row r="1" spans="2:13" ht="18" x14ac:dyDescent="0.35">
      <c r="B1" s="39" t="s">
        <v>33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2:13" x14ac:dyDescent="0.3">
      <c r="F2" s="18" t="s">
        <v>0</v>
      </c>
      <c r="G2" s="18" t="s">
        <v>1</v>
      </c>
      <c r="H2" s="18" t="s">
        <v>2</v>
      </c>
      <c r="I2" s="18" t="s">
        <v>3</v>
      </c>
      <c r="J2" s="18" t="s">
        <v>19</v>
      </c>
      <c r="K2" s="2" t="s">
        <v>4</v>
      </c>
      <c r="L2" s="18" t="s">
        <v>29</v>
      </c>
      <c r="M2" s="18" t="s">
        <v>26</v>
      </c>
    </row>
    <row r="3" spans="2:13" x14ac:dyDescent="0.3">
      <c r="B3" s="27" t="s">
        <v>10</v>
      </c>
      <c r="C3" s="28" t="s">
        <v>14</v>
      </c>
      <c r="D3" s="32" t="s">
        <v>32</v>
      </c>
      <c r="E3" s="20" t="s">
        <v>5</v>
      </c>
      <c r="F3" s="9">
        <v>3.0295800000000002</v>
      </c>
      <c r="G3" s="9">
        <v>4.5186159999999997</v>
      </c>
      <c r="H3" s="7">
        <v>0.92169295169709697</v>
      </c>
      <c r="I3" s="8">
        <v>5</v>
      </c>
      <c r="J3" s="8">
        <v>250</v>
      </c>
      <c r="K3" s="8"/>
    </row>
    <row r="4" spans="2:13" x14ac:dyDescent="0.3">
      <c r="B4" s="27"/>
      <c r="C4" s="28"/>
      <c r="D4" s="32"/>
      <c r="E4" s="20" t="s">
        <v>6</v>
      </c>
      <c r="F4" s="9">
        <v>3.323601531755509</v>
      </c>
      <c r="G4" s="9">
        <v>4.8404340000000001</v>
      </c>
      <c r="H4" s="7">
        <v>0.90990700000000002</v>
      </c>
      <c r="I4" s="8">
        <v>6</v>
      </c>
      <c r="J4" s="8">
        <v>500</v>
      </c>
      <c r="K4" s="8">
        <v>1000</v>
      </c>
    </row>
    <row r="5" spans="2:13" x14ac:dyDescent="0.3">
      <c r="B5" s="27"/>
      <c r="C5" s="28"/>
      <c r="D5" s="26" t="s">
        <v>8</v>
      </c>
      <c r="E5" s="20" t="s">
        <v>5</v>
      </c>
      <c r="F5" s="9">
        <v>3.0617064582379641</v>
      </c>
      <c r="G5" s="9">
        <v>4.731199859796769</v>
      </c>
      <c r="H5" s="7">
        <v>0.92831947459254494</v>
      </c>
      <c r="I5" s="8">
        <v>3</v>
      </c>
      <c r="J5" s="8">
        <v>500</v>
      </c>
      <c r="K5" s="8"/>
    </row>
    <row r="6" spans="2:13" x14ac:dyDescent="0.3">
      <c r="B6" s="27"/>
      <c r="C6" s="28"/>
      <c r="D6" s="26"/>
      <c r="E6" s="20" t="s">
        <v>6</v>
      </c>
      <c r="F6" s="9">
        <v>2.9443911857457139</v>
      </c>
      <c r="G6" s="9">
        <v>4.7503365526687871</v>
      </c>
      <c r="H6" s="7">
        <v>0.92773843704851988</v>
      </c>
      <c r="I6" s="8">
        <v>6</v>
      </c>
      <c r="J6" s="8">
        <v>1000</v>
      </c>
      <c r="K6" s="8">
        <v>1000</v>
      </c>
    </row>
    <row r="7" spans="2:13" x14ac:dyDescent="0.3">
      <c r="B7" s="27"/>
      <c r="C7" s="28"/>
      <c r="D7" s="26"/>
      <c r="E7" s="20" t="s">
        <v>7</v>
      </c>
      <c r="F7" s="9">
        <v>6.3946245294800548</v>
      </c>
      <c r="G7" s="9">
        <v>7.6857029506797332</v>
      </c>
      <c r="H7" s="7">
        <v>0.8108415347646114</v>
      </c>
      <c r="I7" s="8"/>
      <c r="J7" s="8">
        <v>500</v>
      </c>
      <c r="K7" s="8"/>
    </row>
    <row r="8" spans="2:13" x14ac:dyDescent="0.3">
      <c r="B8" s="27" t="s">
        <v>11</v>
      </c>
      <c r="C8" s="28" t="s">
        <v>15</v>
      </c>
      <c r="D8" s="32" t="s">
        <v>32</v>
      </c>
      <c r="E8" s="20" t="s">
        <v>5</v>
      </c>
      <c r="F8" s="9">
        <v>3.433925149616829</v>
      </c>
      <c r="G8" s="9">
        <v>4.8736162344546452</v>
      </c>
      <c r="H8" s="7">
        <v>0.91153287652535187</v>
      </c>
      <c r="I8" s="8">
        <v>5</v>
      </c>
      <c r="J8" s="8">
        <v>50</v>
      </c>
      <c r="K8"/>
      <c r="L8" s="2" t="s">
        <v>30</v>
      </c>
    </row>
    <row r="9" spans="2:13" x14ac:dyDescent="0.3">
      <c r="B9" s="27"/>
      <c r="C9" s="28"/>
      <c r="D9" s="32"/>
      <c r="E9" s="20" t="s">
        <v>6</v>
      </c>
      <c r="F9" s="9">
        <v>3.2249832594649548</v>
      </c>
      <c r="G9" s="9">
        <v>4.6087934613883528</v>
      </c>
      <c r="H9" s="7">
        <v>0.92088592734438945</v>
      </c>
      <c r="I9" s="8">
        <v>8</v>
      </c>
      <c r="J9" s="8">
        <v>500</v>
      </c>
      <c r="K9">
        <v>500</v>
      </c>
      <c r="L9" s="2" t="s">
        <v>31</v>
      </c>
    </row>
    <row r="10" spans="2:13" x14ac:dyDescent="0.3">
      <c r="B10" s="27"/>
      <c r="C10" s="28"/>
      <c r="D10" s="26" t="s">
        <v>8</v>
      </c>
      <c r="E10" s="20" t="s">
        <v>5</v>
      </c>
      <c r="F10" s="9">
        <v>3.5154099909815839</v>
      </c>
      <c r="G10" s="9">
        <v>5.1336434178601236</v>
      </c>
      <c r="H10" s="7">
        <v>0.91560630731527293</v>
      </c>
      <c r="I10" s="8">
        <v>6</v>
      </c>
      <c r="J10" s="8">
        <v>50</v>
      </c>
      <c r="K10"/>
      <c r="L10" s="2" t="s">
        <v>30</v>
      </c>
    </row>
    <row r="11" spans="2:13" x14ac:dyDescent="0.3">
      <c r="B11" s="27"/>
      <c r="C11" s="28"/>
      <c r="D11" s="26"/>
      <c r="E11" s="20" t="s">
        <v>6</v>
      </c>
      <c r="F11" s="9">
        <v>3.2424817827476522</v>
      </c>
      <c r="G11" s="9">
        <v>4.8786593383402792</v>
      </c>
      <c r="H11" s="7">
        <v>0.92378164367612459</v>
      </c>
      <c r="I11" s="8">
        <v>6</v>
      </c>
      <c r="J11" s="8">
        <v>1000</v>
      </c>
      <c r="K11">
        <v>1000</v>
      </c>
      <c r="L11" s="2" t="s">
        <v>31</v>
      </c>
    </row>
    <row r="12" spans="2:13" x14ac:dyDescent="0.3">
      <c r="B12" s="27"/>
      <c r="C12" s="28"/>
      <c r="D12" s="26"/>
      <c r="E12" s="20" t="s">
        <v>7</v>
      </c>
      <c r="F12" s="9">
        <v>6.3946245294800548</v>
      </c>
      <c r="G12" s="9">
        <v>7.6857029506797332</v>
      </c>
      <c r="H12" s="7">
        <v>0.8108415347646114</v>
      </c>
      <c r="I12" s="8"/>
      <c r="J12" s="8">
        <v>500</v>
      </c>
      <c r="K12"/>
      <c r="L12" s="2"/>
    </row>
    <row r="13" spans="2:13" x14ac:dyDescent="0.3">
      <c r="B13" s="27" t="s">
        <v>13</v>
      </c>
      <c r="C13" s="28" t="s">
        <v>16</v>
      </c>
      <c r="D13" s="32" t="s">
        <v>32</v>
      </c>
      <c r="E13" s="20" t="s">
        <v>5</v>
      </c>
      <c r="F13" s="9">
        <v>3.0745790464262108</v>
      </c>
      <c r="G13" s="9">
        <v>4.7854599999999996</v>
      </c>
      <c r="H13" s="7">
        <v>0.91194200000000003</v>
      </c>
      <c r="I13" s="8">
        <v>3</v>
      </c>
      <c r="J13" s="8">
        <v>500</v>
      </c>
      <c r="K13"/>
      <c r="L13" s="2"/>
    </row>
    <row r="14" spans="2:13" x14ac:dyDescent="0.3">
      <c r="B14" s="27"/>
      <c r="C14" s="28"/>
      <c r="D14" s="32"/>
      <c r="E14" s="20" t="s">
        <v>6</v>
      </c>
      <c r="F14" s="9">
        <v>3.2911380000000001</v>
      </c>
      <c r="G14" s="9">
        <v>4.9732979999999998</v>
      </c>
      <c r="H14" s="7">
        <v>0.90489299999999995</v>
      </c>
      <c r="I14" s="8">
        <v>3</v>
      </c>
      <c r="J14" s="8">
        <v>1000</v>
      </c>
      <c r="K14">
        <v>1000</v>
      </c>
      <c r="L14" s="2"/>
    </row>
    <row r="15" spans="2:13" x14ac:dyDescent="0.3">
      <c r="B15" s="27"/>
      <c r="C15" s="28"/>
      <c r="D15" s="26" t="s">
        <v>8</v>
      </c>
      <c r="E15" s="20" t="s">
        <v>5</v>
      </c>
      <c r="F15" s="9">
        <v>3.029132828993685</v>
      </c>
      <c r="G15" s="9">
        <v>4.9069140806906404</v>
      </c>
      <c r="H15" s="7">
        <v>0.92289625039401235</v>
      </c>
      <c r="I15" s="8">
        <v>3</v>
      </c>
      <c r="J15" s="8">
        <v>1000</v>
      </c>
      <c r="K15"/>
      <c r="L15" s="2"/>
      <c r="M15" t="s">
        <v>28</v>
      </c>
    </row>
    <row r="16" spans="2:13" x14ac:dyDescent="0.3">
      <c r="B16" s="27"/>
      <c r="C16" s="28"/>
      <c r="D16" s="26"/>
      <c r="E16" s="20" t="s">
        <v>6</v>
      </c>
      <c r="F16" s="9">
        <v>2.9541457795862609</v>
      </c>
      <c r="G16" s="9">
        <v>4.7504691121059306</v>
      </c>
      <c r="H16" s="7">
        <v>0.92773440403500285</v>
      </c>
      <c r="I16" s="8">
        <v>5</v>
      </c>
      <c r="J16" s="8">
        <v>1000</v>
      </c>
      <c r="K16">
        <v>1000</v>
      </c>
      <c r="L16" s="2"/>
    </row>
    <row r="17" spans="2:12" x14ac:dyDescent="0.3">
      <c r="B17" s="27"/>
      <c r="C17" s="28"/>
      <c r="D17" s="26"/>
      <c r="E17" s="20" t="s">
        <v>7</v>
      </c>
      <c r="F17" s="9">
        <v>6.3946820861846962</v>
      </c>
      <c r="G17" s="9">
        <v>7.6945658720176358</v>
      </c>
      <c r="H17" s="7">
        <v>0.81040501952293353</v>
      </c>
      <c r="I17" s="8"/>
      <c r="J17" s="8">
        <v>500</v>
      </c>
      <c r="K17"/>
      <c r="L17" s="2"/>
    </row>
    <row r="18" spans="2:12" x14ac:dyDescent="0.3">
      <c r="B18" s="27" t="s">
        <v>12</v>
      </c>
      <c r="C18" s="28" t="s">
        <v>17</v>
      </c>
      <c r="D18" s="32" t="s">
        <v>32</v>
      </c>
      <c r="E18" s="20" t="s">
        <v>5</v>
      </c>
      <c r="F18" s="9">
        <v>3.217409</v>
      </c>
      <c r="G18" s="9">
        <v>4.7148440000000003</v>
      </c>
      <c r="H18" s="7">
        <v>0.91452199999999995</v>
      </c>
      <c r="I18" s="24">
        <v>10</v>
      </c>
      <c r="J18" s="8">
        <v>50</v>
      </c>
      <c r="K18"/>
      <c r="L18" s="2" t="s">
        <v>30</v>
      </c>
    </row>
    <row r="19" spans="2:12" x14ac:dyDescent="0.3">
      <c r="B19" s="27"/>
      <c r="C19" s="28"/>
      <c r="D19" s="32"/>
      <c r="E19" s="20" t="s">
        <v>6</v>
      </c>
      <c r="F19" s="9">
        <v>3.2911380000000001</v>
      </c>
      <c r="G19" s="9">
        <v>4.9732979999999998</v>
      </c>
      <c r="H19" s="7">
        <v>0.90489299999999995</v>
      </c>
      <c r="I19" s="8">
        <v>3</v>
      </c>
      <c r="J19" s="8">
        <v>1000</v>
      </c>
      <c r="K19">
        <v>500</v>
      </c>
      <c r="L19" s="2" t="s">
        <v>31</v>
      </c>
    </row>
    <row r="20" spans="2:12" x14ac:dyDescent="0.3">
      <c r="B20" s="27"/>
      <c r="C20" s="28"/>
      <c r="D20" s="26" t="s">
        <v>8</v>
      </c>
      <c r="E20" s="20" t="s">
        <v>5</v>
      </c>
      <c r="F20" s="9">
        <v>3.0640276628463541</v>
      </c>
      <c r="G20" s="9">
        <v>4.6967223809228846</v>
      </c>
      <c r="H20" s="7">
        <v>0.92936037717087394</v>
      </c>
      <c r="I20" s="8">
        <v>10</v>
      </c>
      <c r="J20" s="8">
        <v>50</v>
      </c>
      <c r="K20"/>
      <c r="L20" s="2" t="s">
        <v>30</v>
      </c>
    </row>
    <row r="21" spans="2:12" x14ac:dyDescent="0.3">
      <c r="B21" s="27"/>
      <c r="C21" s="28"/>
      <c r="D21" s="26"/>
      <c r="E21" s="20" t="s">
        <v>6</v>
      </c>
      <c r="F21" s="9">
        <v>3.338522740271463</v>
      </c>
      <c r="G21" s="9">
        <v>4.9418969982583709</v>
      </c>
      <c r="H21" s="7">
        <v>0.92179293818271146</v>
      </c>
      <c r="I21" s="8">
        <v>6</v>
      </c>
      <c r="J21" s="8">
        <v>500</v>
      </c>
      <c r="K21">
        <v>500</v>
      </c>
      <c r="L21" s="2" t="s">
        <v>31</v>
      </c>
    </row>
    <row r="22" spans="2:12" x14ac:dyDescent="0.3">
      <c r="B22" s="27"/>
      <c r="C22" s="28"/>
      <c r="D22" s="26"/>
      <c r="E22" s="20" t="s">
        <v>7</v>
      </c>
      <c r="F22" s="9">
        <v>6.3946820861846962</v>
      </c>
      <c r="G22" s="9">
        <v>7.6945658720176358</v>
      </c>
      <c r="H22" s="7">
        <v>0.81040501952293353</v>
      </c>
      <c r="I22" s="8"/>
      <c r="J22" s="8">
        <v>500</v>
      </c>
      <c r="K22"/>
    </row>
    <row r="23" spans="2:12" x14ac:dyDescent="0.3">
      <c r="B23" s="10"/>
      <c r="C23" s="12"/>
      <c r="D23" s="10"/>
      <c r="E23" s="10"/>
      <c r="F23" s="13"/>
      <c r="G23" s="13"/>
      <c r="H23" s="14"/>
      <c r="I23" s="10"/>
      <c r="J23" s="10"/>
      <c r="K23"/>
    </row>
    <row r="24" spans="2:12" x14ac:dyDescent="0.3">
      <c r="F24" s="2" t="s">
        <v>0</v>
      </c>
      <c r="G24" s="2" t="s">
        <v>1</v>
      </c>
      <c r="H24" s="2" t="s">
        <v>2</v>
      </c>
      <c r="I24" s="2" t="s">
        <v>3</v>
      </c>
      <c r="J24" s="2" t="s">
        <v>19</v>
      </c>
      <c r="K24"/>
    </row>
    <row r="25" spans="2:12" x14ac:dyDescent="0.3">
      <c r="B25" s="29" t="s">
        <v>12</v>
      </c>
      <c r="C25" s="28" t="s">
        <v>14</v>
      </c>
      <c r="D25" s="32" t="s">
        <v>32</v>
      </c>
      <c r="E25" s="34" t="s">
        <v>5</v>
      </c>
      <c r="F25" s="9">
        <v>3.0295800000000002</v>
      </c>
      <c r="G25" s="9">
        <v>4.5186159999999997</v>
      </c>
      <c r="H25" s="7">
        <v>0.92169295169709697</v>
      </c>
      <c r="I25" s="8">
        <v>5</v>
      </c>
      <c r="J25" s="8">
        <v>250</v>
      </c>
      <c r="K25"/>
    </row>
    <row r="26" spans="2:12" x14ac:dyDescent="0.3">
      <c r="B26" s="30"/>
      <c r="C26" s="28"/>
      <c r="D26" s="32"/>
      <c r="E26" s="34" t="s">
        <v>6</v>
      </c>
      <c r="F26" s="9">
        <v>3.323601531755509</v>
      </c>
      <c r="G26" s="9">
        <v>4.8404340000000001</v>
      </c>
      <c r="H26" s="7">
        <v>0.90990700000000002</v>
      </c>
      <c r="I26" s="8">
        <v>6</v>
      </c>
      <c r="J26" s="8">
        <v>500</v>
      </c>
      <c r="K26"/>
    </row>
    <row r="27" spans="2:12" x14ac:dyDescent="0.3">
      <c r="B27" s="30"/>
      <c r="C27" s="28"/>
      <c r="D27" s="25" t="s">
        <v>8</v>
      </c>
      <c r="E27" s="34" t="s">
        <v>5</v>
      </c>
      <c r="F27" s="9">
        <v>3.0617064582379641</v>
      </c>
      <c r="G27" s="9">
        <v>4.731199859796769</v>
      </c>
      <c r="H27" s="7">
        <v>0.92831947459254494</v>
      </c>
      <c r="I27" s="8">
        <v>3</v>
      </c>
      <c r="J27" s="8">
        <v>500</v>
      </c>
      <c r="K27"/>
    </row>
    <row r="28" spans="2:12" x14ac:dyDescent="0.3">
      <c r="B28" s="30"/>
      <c r="C28" s="28"/>
      <c r="D28" s="25"/>
      <c r="E28" s="34" t="s">
        <v>6</v>
      </c>
      <c r="F28" s="9">
        <v>2.9443911857457139</v>
      </c>
      <c r="G28" s="9">
        <v>4.7503365526687871</v>
      </c>
      <c r="H28" s="7">
        <v>0.92773843704851988</v>
      </c>
      <c r="I28" s="8">
        <v>6</v>
      </c>
      <c r="J28" s="8">
        <v>1000</v>
      </c>
      <c r="K28"/>
    </row>
    <row r="29" spans="2:12" x14ac:dyDescent="0.3">
      <c r="B29" s="30"/>
      <c r="C29" s="28"/>
      <c r="D29" s="25"/>
      <c r="E29" s="34" t="s">
        <v>7</v>
      </c>
      <c r="F29" s="9">
        <v>6.3946245294800548</v>
      </c>
      <c r="G29" s="9">
        <v>7.6857029506797332</v>
      </c>
      <c r="H29" s="7">
        <v>0.8108415347646114</v>
      </c>
      <c r="I29" s="8"/>
      <c r="J29" s="8">
        <v>500</v>
      </c>
      <c r="K29"/>
    </row>
    <row r="30" spans="2:12" x14ac:dyDescent="0.3">
      <c r="B30" s="30"/>
      <c r="C30" s="27" t="s">
        <v>20</v>
      </c>
      <c r="D30" s="32" t="s">
        <v>32</v>
      </c>
      <c r="E30" s="34" t="s">
        <v>5</v>
      </c>
      <c r="F30" s="9">
        <v>2.9356789999999999</v>
      </c>
      <c r="G30" s="9">
        <v>4.1366240000000003</v>
      </c>
      <c r="H30" s="7">
        <v>0.92525599999999997</v>
      </c>
      <c r="I30" s="8">
        <v>3</v>
      </c>
      <c r="J30" s="8">
        <v>250</v>
      </c>
      <c r="K30" s="8"/>
    </row>
    <row r="31" spans="2:12" x14ac:dyDescent="0.3">
      <c r="B31" s="30"/>
      <c r="C31" s="27"/>
      <c r="D31" s="32"/>
      <c r="E31" s="34" t="s">
        <v>6</v>
      </c>
      <c r="F31" s="9">
        <v>2.9274640000000001</v>
      </c>
      <c r="G31" s="9">
        <v>4.0806209999999998</v>
      </c>
      <c r="H31" s="7">
        <v>0.92726600000000003</v>
      </c>
      <c r="I31" s="8">
        <v>3</v>
      </c>
      <c r="J31" s="8">
        <v>1000</v>
      </c>
      <c r="K31" s="8">
        <v>1000</v>
      </c>
    </row>
    <row r="32" spans="2:12" x14ac:dyDescent="0.3">
      <c r="B32" s="30"/>
      <c r="C32" s="27"/>
      <c r="D32" s="25" t="s">
        <v>8</v>
      </c>
      <c r="E32" s="34" t="s">
        <v>5</v>
      </c>
      <c r="F32" s="9">
        <v>2.7515566600632519</v>
      </c>
      <c r="G32" s="9">
        <v>3.8662435547410401</v>
      </c>
      <c r="H32" s="7">
        <v>0.94505650229978277</v>
      </c>
      <c r="I32" s="8">
        <v>3</v>
      </c>
      <c r="J32" s="8">
        <v>500</v>
      </c>
      <c r="K32" s="8"/>
    </row>
    <row r="33" spans="2:13" x14ac:dyDescent="0.3">
      <c r="B33" s="30"/>
      <c r="C33" s="27"/>
      <c r="D33" s="25"/>
      <c r="E33" s="34" t="s">
        <v>6</v>
      </c>
      <c r="F33" s="9">
        <v>2.9188476535039589</v>
      </c>
      <c r="G33" s="9">
        <v>4.0610136951478593</v>
      </c>
      <c r="H33" s="7">
        <v>0.93938127560060569</v>
      </c>
      <c r="I33" s="8">
        <v>3</v>
      </c>
      <c r="J33" s="8">
        <v>1000</v>
      </c>
      <c r="K33" s="8">
        <v>1000</v>
      </c>
    </row>
    <row r="34" spans="2:13" x14ac:dyDescent="0.3">
      <c r="B34" s="30"/>
      <c r="C34" s="27"/>
      <c r="D34" s="25"/>
      <c r="E34" s="34" t="s">
        <v>7</v>
      </c>
      <c r="F34" s="9">
        <v>6.6334751403778114</v>
      </c>
      <c r="G34" s="9">
        <v>7.7508930097293511</v>
      </c>
      <c r="H34" s="7">
        <v>0.77917849305490194</v>
      </c>
      <c r="I34" s="8"/>
      <c r="J34" s="8">
        <v>250</v>
      </c>
      <c r="K34" s="8"/>
    </row>
    <row r="35" spans="2:13" x14ac:dyDescent="0.3">
      <c r="B35" s="30"/>
      <c r="C35" s="27" t="s">
        <v>21</v>
      </c>
      <c r="D35" s="32" t="s">
        <v>32</v>
      </c>
      <c r="E35" s="34" t="s">
        <v>5</v>
      </c>
      <c r="F35" s="9">
        <v>2.9768509999999999</v>
      </c>
      <c r="G35" s="9">
        <v>4.1758430000000004</v>
      </c>
      <c r="H35" s="7">
        <v>0.93933999999999995</v>
      </c>
      <c r="I35" s="8">
        <v>3</v>
      </c>
      <c r="J35" s="8">
        <v>250</v>
      </c>
    </row>
    <row r="36" spans="2:13" x14ac:dyDescent="0.3">
      <c r="B36" s="30"/>
      <c r="C36" s="27"/>
      <c r="D36" s="32"/>
      <c r="E36" s="34" t="s">
        <v>6</v>
      </c>
      <c r="F36" s="9">
        <v>2.7573560000000001</v>
      </c>
      <c r="G36" s="9">
        <v>4.1491470000000001</v>
      </c>
      <c r="H36" s="7">
        <v>0.94011299999999998</v>
      </c>
      <c r="I36" s="8">
        <v>5</v>
      </c>
      <c r="J36" s="8">
        <v>1000</v>
      </c>
      <c r="K36" s="2">
        <v>1000</v>
      </c>
    </row>
    <row r="37" spans="2:13" x14ac:dyDescent="0.3">
      <c r="B37" s="30"/>
      <c r="C37" s="27"/>
      <c r="D37" s="25" t="s">
        <v>8</v>
      </c>
      <c r="E37" s="34" t="s">
        <v>5</v>
      </c>
      <c r="F37" s="9">
        <v>3.1507273795027642</v>
      </c>
      <c r="G37" s="9">
        <v>4.4587585316545626</v>
      </c>
      <c r="H37" s="7">
        <v>0.91645916002552996</v>
      </c>
      <c r="I37" s="8">
        <v>3</v>
      </c>
      <c r="J37" s="8">
        <v>1000</v>
      </c>
    </row>
    <row r="38" spans="2:13" x14ac:dyDescent="0.3">
      <c r="B38" s="30"/>
      <c r="C38" s="27"/>
      <c r="D38" s="25"/>
      <c r="E38" s="34" t="s">
        <v>6</v>
      </c>
      <c r="F38" s="9">
        <v>3.2955896744306492</v>
      </c>
      <c r="G38" s="9">
        <v>4.5027166149673032</v>
      </c>
      <c r="H38" s="7">
        <v>0.91480381250215381</v>
      </c>
      <c r="I38" s="8">
        <v>3</v>
      </c>
      <c r="J38" s="8">
        <v>1000</v>
      </c>
      <c r="K38" s="2">
        <v>1000</v>
      </c>
      <c r="L38" s="1"/>
    </row>
    <row r="39" spans="2:13" x14ac:dyDescent="0.3">
      <c r="B39" s="31"/>
      <c r="C39" s="27"/>
      <c r="D39" s="25"/>
      <c r="E39" s="34" t="s">
        <v>7</v>
      </c>
      <c r="F39" s="9">
        <v>5.5206570809622351</v>
      </c>
      <c r="G39" s="9">
        <v>6.7308453807239124</v>
      </c>
      <c r="H39" s="7">
        <v>0.80962489351423439</v>
      </c>
      <c r="I39" s="8"/>
      <c r="J39" s="8">
        <v>50</v>
      </c>
      <c r="L39" s="1"/>
    </row>
    <row r="40" spans="2:13" x14ac:dyDescent="0.3">
      <c r="B40" s="10"/>
      <c r="C40" s="21"/>
      <c r="D40" s="10"/>
      <c r="E40" s="35"/>
      <c r="F40" s="13"/>
      <c r="G40" s="13"/>
      <c r="H40" s="14"/>
      <c r="I40" s="10"/>
      <c r="J40" s="10"/>
      <c r="L40" s="1"/>
    </row>
    <row r="41" spans="2:13" x14ac:dyDescent="0.3">
      <c r="B41" s="11"/>
      <c r="C41" s="22"/>
      <c r="E41" s="36"/>
      <c r="F41" s="18" t="s">
        <v>9</v>
      </c>
      <c r="G41" s="19" t="s">
        <v>22</v>
      </c>
    </row>
    <row r="42" spans="2:13" ht="28.8" x14ac:dyDescent="0.3">
      <c r="B42" s="27" t="s">
        <v>18</v>
      </c>
      <c r="C42" s="27" t="s">
        <v>23</v>
      </c>
      <c r="D42" s="33" t="s">
        <v>32</v>
      </c>
      <c r="E42" s="37" t="s">
        <v>5</v>
      </c>
      <c r="F42" s="6">
        <f>AVERAGE(F3,F35,F30)</f>
        <v>2.980703333333333</v>
      </c>
      <c r="G42" s="4">
        <f>_xlfn.STDEV.P(F3,F30,F35)</f>
        <v>3.8431582536011054E-2</v>
      </c>
      <c r="M42" s="2" t="s">
        <v>27</v>
      </c>
    </row>
    <row r="43" spans="2:13" x14ac:dyDescent="0.3">
      <c r="B43" s="27"/>
      <c r="C43" s="27"/>
      <c r="D43" s="24" t="s">
        <v>8</v>
      </c>
      <c r="E43" s="37"/>
      <c r="F43" s="6">
        <f>AVERAGE(F5,F37,F32)</f>
        <v>2.9879968326013269</v>
      </c>
      <c r="G43" s="4">
        <f>_xlfn.STDEV.P(F5,F37,F32)</f>
        <v>0.17109285490260226</v>
      </c>
    </row>
    <row r="44" spans="2:13" ht="28.8" x14ac:dyDescent="0.3">
      <c r="B44" s="27"/>
      <c r="C44" s="27"/>
      <c r="D44" s="33" t="s">
        <v>32</v>
      </c>
      <c r="E44" s="37" t="s">
        <v>6</v>
      </c>
      <c r="F44" s="6">
        <f>AVERAGE(F4,F36,F31)</f>
        <v>3.0028071772518365</v>
      </c>
      <c r="G44" s="4">
        <f>_xlfn.STDEV.P(F4,F31,F36)</f>
        <v>0.23722836582369453</v>
      </c>
    </row>
    <row r="45" spans="2:13" x14ac:dyDescent="0.3">
      <c r="B45" s="27"/>
      <c r="C45" s="27"/>
      <c r="D45" s="24" t="s">
        <v>8</v>
      </c>
      <c r="E45" s="37"/>
      <c r="F45" s="6">
        <f>AVERAGE(F6,F38,F33)</f>
        <v>3.0529428378934411</v>
      </c>
      <c r="G45" s="4">
        <f>_xlfn.STDEV.P(F5,F32,F37)</f>
        <v>0.17109285490260226</v>
      </c>
    </row>
    <row r="46" spans="2:13" x14ac:dyDescent="0.3">
      <c r="B46" s="27"/>
      <c r="C46" s="27"/>
      <c r="D46" s="24" t="s">
        <v>8</v>
      </c>
      <c r="E46" s="38" t="s">
        <v>7</v>
      </c>
      <c r="F46" s="5">
        <f>AVERAGE(F7,F34,F39)</f>
        <v>6.1829189169400331</v>
      </c>
      <c r="G46" s="4">
        <f>_xlfn.STDEV.P(F7,F34,F39)</f>
        <v>0.47833423330419733</v>
      </c>
    </row>
    <row r="47" spans="2:13" x14ac:dyDescent="0.3">
      <c r="B47" s="10"/>
      <c r="C47" s="10"/>
      <c r="D47" s="15"/>
      <c r="E47" s="15"/>
      <c r="F47" s="16"/>
      <c r="G47" s="17"/>
    </row>
    <row r="48" spans="2:13" x14ac:dyDescent="0.3">
      <c r="B48" s="22" t="s">
        <v>25</v>
      </c>
    </row>
    <row r="49" spans="2:6" x14ac:dyDescent="0.3">
      <c r="B49" s="27" t="s">
        <v>24</v>
      </c>
      <c r="C49" s="23" t="s">
        <v>17</v>
      </c>
      <c r="D49" s="24" t="s">
        <v>8</v>
      </c>
      <c r="E49" s="20" t="s">
        <v>5</v>
      </c>
      <c r="F49" s="7">
        <v>0.92936037717087394</v>
      </c>
    </row>
    <row r="50" spans="2:6" x14ac:dyDescent="0.3">
      <c r="B50" s="27"/>
      <c r="C50" s="23" t="s">
        <v>14</v>
      </c>
      <c r="D50" s="24" t="s">
        <v>8</v>
      </c>
      <c r="E50" s="20" t="s">
        <v>6</v>
      </c>
      <c r="F50" s="7">
        <v>0.92773843704851988</v>
      </c>
    </row>
    <row r="51" spans="2:6" x14ac:dyDescent="0.3">
      <c r="B51" s="27"/>
      <c r="C51" s="23" t="s">
        <v>14</v>
      </c>
      <c r="D51" s="3" t="s">
        <v>8</v>
      </c>
      <c r="E51" s="20" t="s">
        <v>7</v>
      </c>
      <c r="F51" s="7">
        <v>0.8108415347646114</v>
      </c>
    </row>
  </sheetData>
  <mergeCells count="32">
    <mergeCell ref="B1:M1"/>
    <mergeCell ref="B49:B51"/>
    <mergeCell ref="D3:D4"/>
    <mergeCell ref="C3:C7"/>
    <mergeCell ref="D5:D7"/>
    <mergeCell ref="C30:C34"/>
    <mergeCell ref="D30:D31"/>
    <mergeCell ref="D32:D34"/>
    <mergeCell ref="D25:D26"/>
    <mergeCell ref="D27:D29"/>
    <mergeCell ref="D35:D36"/>
    <mergeCell ref="D37:D39"/>
    <mergeCell ref="C35:C39"/>
    <mergeCell ref="B3:B7"/>
    <mergeCell ref="C25:C29"/>
    <mergeCell ref="B25:B39"/>
    <mergeCell ref="E42:E43"/>
    <mergeCell ref="E44:E45"/>
    <mergeCell ref="D8:D9"/>
    <mergeCell ref="D10:D12"/>
    <mergeCell ref="B8:B12"/>
    <mergeCell ref="B13:B17"/>
    <mergeCell ref="B18:B22"/>
    <mergeCell ref="D13:D14"/>
    <mergeCell ref="D15:D17"/>
    <mergeCell ref="D18:D19"/>
    <mergeCell ref="D20:D22"/>
    <mergeCell ref="B42:B46"/>
    <mergeCell ref="C42:C46"/>
    <mergeCell ref="C8:C12"/>
    <mergeCell ref="C13:C17"/>
    <mergeCell ref="C18:C22"/>
  </mergeCells>
  <conditionalFormatting sqref="F3:F23 F25:F2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:F4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:F4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2:F4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23 G25:G2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:G4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:G4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2:G4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23 H25:H2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H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:H4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23 I25:I2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5:I4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23 J25:J2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5:J4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Jasurbek Odilov</dc:creator>
  <cp:lastModifiedBy>Jasurbek Odilov</cp:lastModifiedBy>
  <dcterms:created xsi:type="dcterms:W3CDTF">2015-06-05T18:19:34Z</dcterms:created>
  <dcterms:modified xsi:type="dcterms:W3CDTF">2026-05-31T16:55:40Z</dcterms:modified>
</cp:coreProperties>
</file>